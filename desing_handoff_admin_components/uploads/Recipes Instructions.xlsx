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cuvatepro.sharepoint.com/sites/incuvate/Platforms  SOPs/Dietitian &amp; Health Kitchen/Phase 1_Order-Kitchen/"/>
    </mc:Choice>
  </mc:AlternateContent>
  <xr:revisionPtr revIDLastSave="0" documentId="8_{7D2434A8-7564-7844-BBF2-CB0268587FC3}" xr6:coauthVersionLast="47" xr6:coauthVersionMax="47" xr10:uidLastSave="{00000000-0000-0000-0000-000000000000}"/>
  <bookViews>
    <workbookView xWindow="38380" yWindow="980" windowWidth="27700" windowHeight="16680" xr2:uid="{8D02BEFA-5F5F-BF45-B68A-FFC0A0AE9080}"/>
  </bookViews>
  <sheets>
    <sheet name="Thousand Islands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3" i="1" l="1"/>
  <c r="B35" i="1" s="1"/>
  <c r="B36" i="1" s="1"/>
  <c r="B37" i="1" s="1"/>
  <c r="C33" i="1"/>
  <c r="E32" i="1"/>
  <c r="E31" i="1"/>
  <c r="E30" i="1"/>
  <c r="E23" i="1"/>
  <c r="B25" i="1" s="1"/>
  <c r="B26" i="1" s="1"/>
  <c r="B27" i="1" s="1"/>
  <c r="B39" i="1" s="1"/>
  <c r="C23" i="1"/>
  <c r="E22" i="1"/>
  <c r="E21" i="1"/>
  <c r="E20" i="1"/>
  <c r="E19" i="1"/>
  <c r="E18" i="1"/>
  <c r="E17" i="1"/>
  <c r="E16" i="1"/>
  <c r="E15" i="1"/>
  <c r="E14" i="1"/>
</calcChain>
</file>

<file path=xl/sharedStrings.xml><?xml version="1.0" encoding="utf-8"?>
<sst xmlns="http://schemas.openxmlformats.org/spreadsheetml/2006/main" count="68" uniqueCount="46">
  <si>
    <t>Technical Sheet</t>
  </si>
  <si>
    <t>Description</t>
  </si>
  <si>
    <t>Designation</t>
  </si>
  <si>
    <t>Thousand Islands</t>
  </si>
  <si>
    <t>Insert Photo Here</t>
  </si>
  <si>
    <t>Kind</t>
  </si>
  <si>
    <t>Production</t>
  </si>
  <si>
    <t>Quantity Produced (Yield)</t>
  </si>
  <si>
    <t xml:space="preserve">Those informations are private and it's restricted to share 
it with the outside </t>
  </si>
  <si>
    <t>Raw Material (Production)</t>
  </si>
  <si>
    <t>U = Unit</t>
  </si>
  <si>
    <t>U.</t>
  </si>
  <si>
    <t>Q.</t>
  </si>
  <si>
    <t>U.P.</t>
  </si>
  <si>
    <t>T</t>
  </si>
  <si>
    <t>Comments</t>
  </si>
  <si>
    <t>Q = Quantity</t>
  </si>
  <si>
    <t>Mayonnaise</t>
  </si>
  <si>
    <t>kg</t>
  </si>
  <si>
    <t>U.P -= Unit Price</t>
  </si>
  <si>
    <t>Red Pepper</t>
  </si>
  <si>
    <t>T = Total Price</t>
  </si>
  <si>
    <t>Barbecue</t>
  </si>
  <si>
    <t>Black Pepper</t>
  </si>
  <si>
    <t>Everything need to be co erted to a 1 KG unit for calculation</t>
  </si>
  <si>
    <t>Oregano</t>
  </si>
  <si>
    <t>All amounts in US$</t>
  </si>
  <si>
    <t>Lemon</t>
  </si>
  <si>
    <t>Quantity Produced (Yield) represents the final product weight after prepartion (this is beacsue certain item shrink in eight during process such as grilled pepper</t>
  </si>
  <si>
    <t xml:space="preserve">Salt </t>
  </si>
  <si>
    <t>Sunflower Oil</t>
  </si>
  <si>
    <t>Louisiana Sauce</t>
  </si>
  <si>
    <t>Total:</t>
  </si>
  <si>
    <t>Cost  (Production)</t>
  </si>
  <si>
    <t>Total Production Cost</t>
  </si>
  <si>
    <t>1 kg Production Cost</t>
  </si>
  <si>
    <t>Represent the final weight multiplied by the Yield</t>
  </si>
  <si>
    <t>3% Waste Coeffecient</t>
  </si>
  <si>
    <t>Represnetb 3% additional cost due to waste dduring process</t>
  </si>
  <si>
    <t>Packaging</t>
  </si>
  <si>
    <t>Bottle 300</t>
  </si>
  <si>
    <t>Piece</t>
  </si>
  <si>
    <t>Cap</t>
  </si>
  <si>
    <t>Cost (Packaging)</t>
  </si>
  <si>
    <t>5% Waste Coeffecient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</si>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</sst>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_([$$-409]* #,##0.00_);_([$$-409]* \(#,##0.00\);_([$$-409]* &quot;-&quot;??_);_(@_)"/>
  </numFmts>
  <fonts count="6" x14ac:knownFonts="1">
    <font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/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4" fillId="0" borderId="0" xfId="0" applyFont="1"/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0" xfId="0" applyFont="1"/>
    <xf numFmtId="0" fontId="4" fillId="0" borderId="11" xfId="0" applyFont="1" applyBorder="1"/>
    <xf numFmtId="0" fontId="4" fillId="3" borderId="2" xfId="0" applyFont="1" applyFill="1" applyBorder="1" applyAlignment="1">
      <alignment horizontal="center"/>
    </xf>
    <xf numFmtId="165" fontId="4" fillId="0" borderId="11" xfId="0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/>
    <xf numFmtId="2" fontId="4" fillId="0" borderId="3" xfId="0" applyNumberFormat="1" applyFont="1" applyBorder="1" applyAlignment="1">
      <alignment horizontal="left"/>
    </xf>
    <xf numFmtId="2" fontId="4" fillId="0" borderId="4" xfId="0" applyNumberFormat="1" applyFont="1" applyBorder="1" applyAlignment="1">
      <alignment horizontal="left"/>
    </xf>
    <xf numFmtId="2" fontId="4" fillId="0" borderId="10" xfId="0" applyNumberFormat="1" applyFont="1" applyBorder="1" applyAlignment="1">
      <alignment horizontal="left"/>
    </xf>
    <xf numFmtId="2" fontId="4" fillId="0" borderId="3" xfId="0" applyNumberFormat="1" applyFont="1" applyBorder="1" applyAlignment="1">
      <alignment horizontal="left"/>
    </xf>
    <xf numFmtId="2" fontId="4" fillId="0" borderId="4" xfId="0" applyNumberFormat="1" applyFont="1" applyBorder="1" applyAlignment="1">
      <alignment horizontal="center"/>
    </xf>
    <xf numFmtId="2" fontId="4" fillId="0" borderId="4" xfId="0" applyNumberFormat="1" applyFont="1" applyBorder="1" applyAlignment="1">
      <alignment horizontal="left"/>
    </xf>
    <xf numFmtId="2" fontId="4" fillId="0" borderId="10" xfId="0" applyNumberFormat="1" applyFont="1" applyBorder="1" applyAlignment="1">
      <alignment horizontal="left"/>
    </xf>
    <xf numFmtId="1" fontId="3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AA061-80C3-1B40-B7C0-231845714ECA}">
  <dimension ref="A1:H39"/>
  <sheetViews>
    <sheetView tabSelected="1" topLeftCell="A11" zoomScale="140" zoomScaleNormal="140" workbookViewId="0">
      <selection activeCell="H1" sqref="H1:H1048576"/>
    </sheetView>
  </sheetViews>
  <sheetFormatPr baseColWidth="10" defaultColWidth="8.83203125" defaultRowHeight="15" x14ac:dyDescent="0.2"/>
  <cols>
    <col min="1" max="1" width="30.6640625" customWidth="1"/>
    <col min="2" max="2" width="9.83203125" style="40" bestFit="1" customWidth="1"/>
    <col min="3" max="3" width="9" style="41" bestFit="1" customWidth="1"/>
    <col min="4" max="4" width="8.5" style="40" customWidth="1"/>
    <col min="5" max="5" width="8.6640625" style="40" bestFit="1" customWidth="1"/>
    <col min="6" max="6" width="20.83203125" customWidth="1"/>
    <col min="8" max="8" width="43.83203125" customWidth="1"/>
  </cols>
  <sheetData>
    <row r="1" spans="1:8" ht="16" customHeight="1" x14ac:dyDescent="0.2">
      <c r="A1" s="1" t="s">
        <v>0</v>
      </c>
      <c r="B1" s="1"/>
      <c r="C1" s="1"/>
      <c r="D1" s="1"/>
      <c r="E1" s="1"/>
      <c r="F1" s="1"/>
    </row>
    <row r="2" spans="1:8" ht="16" customHeight="1" x14ac:dyDescent="0.2">
      <c r="A2" s="1"/>
      <c r="B2" s="1"/>
      <c r="C2" s="1"/>
      <c r="D2" s="1"/>
      <c r="E2" s="1"/>
      <c r="F2" s="1"/>
    </row>
    <row r="3" spans="1:8" ht="16" customHeight="1" x14ac:dyDescent="0.2">
      <c r="A3" s="1"/>
      <c r="B3" s="1"/>
      <c r="C3" s="1"/>
      <c r="D3" s="1"/>
      <c r="E3" s="1"/>
      <c r="F3" s="1"/>
    </row>
    <row r="4" spans="1:8" ht="16" customHeight="1" x14ac:dyDescent="0.2">
      <c r="A4" s="2"/>
      <c r="B4" s="2"/>
      <c r="C4" s="2"/>
      <c r="D4" s="2"/>
      <c r="E4" s="2"/>
      <c r="F4" s="2"/>
    </row>
    <row r="5" spans="1:8" ht="25" customHeight="1" x14ac:dyDescent="0.2">
      <c r="A5" s="3" t="s">
        <v>1</v>
      </c>
      <c r="B5" s="3"/>
      <c r="C5" s="3"/>
      <c r="D5" s="3"/>
      <c r="E5" s="3"/>
      <c r="F5" s="3"/>
    </row>
    <row r="6" spans="1:8" s="8" customFormat="1" ht="17.5" customHeight="1" x14ac:dyDescent="0.2">
      <c r="A6" s="4" t="s">
        <v>2</v>
      </c>
      <c r="B6" s="5" t="s">
        <v>3</v>
      </c>
      <c r="C6" s="6"/>
      <c r="D6" s="6"/>
      <c r="E6" s="7" t="s">
        <v>4</v>
      </c>
      <c r="F6" s="7"/>
    </row>
    <row r="7" spans="1:8" s="8" customFormat="1" ht="17.5" customHeight="1" x14ac:dyDescent="0.2">
      <c r="A7" s="4" t="s">
        <v>5</v>
      </c>
      <c r="B7" s="5" t="s">
        <v>6</v>
      </c>
      <c r="C7" s="6"/>
      <c r="D7" s="6"/>
      <c r="E7" s="7"/>
      <c r="F7" s="7"/>
    </row>
    <row r="8" spans="1:8" s="8" customFormat="1" ht="17.5" customHeight="1" x14ac:dyDescent="0.2">
      <c r="A8" s="4" t="s">
        <v>7</v>
      </c>
      <c r="B8" s="5">
        <v>1.7</v>
      </c>
      <c r="C8" s="6"/>
      <c r="D8" s="6"/>
      <c r="E8" s="7"/>
      <c r="F8" s="7"/>
    </row>
    <row r="9" spans="1:8" s="8" customFormat="1" ht="17.5" customHeight="1" x14ac:dyDescent="0.2">
      <c r="A9" s="9" t="s">
        <v>8</v>
      </c>
      <c r="B9" s="10"/>
      <c r="C9" s="10"/>
      <c r="D9" s="11"/>
      <c r="E9" s="7"/>
      <c r="F9" s="7"/>
    </row>
    <row r="10" spans="1:8" s="8" customFormat="1" ht="17.5" customHeight="1" x14ac:dyDescent="0.2">
      <c r="A10" s="12"/>
      <c r="B10" s="13"/>
      <c r="C10" s="13"/>
      <c r="D10" s="14"/>
      <c r="E10" s="7"/>
      <c r="F10" s="7"/>
    </row>
    <row r="11" spans="1:8" s="8" customFormat="1" ht="25" customHeight="1" x14ac:dyDescent="0.2">
      <c r="A11" s="15" t="s">
        <v>6</v>
      </c>
      <c r="B11" s="16"/>
      <c r="C11" s="16"/>
      <c r="D11" s="16"/>
      <c r="E11" s="16"/>
      <c r="F11" s="17"/>
    </row>
    <row r="12" spans="1:8" s="8" customFormat="1" ht="17.5" customHeight="1" x14ac:dyDescent="0.2">
      <c r="A12" s="18" t="s">
        <v>9</v>
      </c>
      <c r="B12" s="19"/>
      <c r="C12" s="19"/>
      <c r="D12" s="19"/>
      <c r="E12" s="19"/>
      <c r="F12" s="20"/>
      <c r="H12" s="8" t="s">
        <v>10</v>
      </c>
    </row>
    <row r="13" spans="1:8" s="24" customFormat="1" ht="17.5" customHeight="1" x14ac:dyDescent="0.2">
      <c r="A13" s="21" t="s">
        <v>2</v>
      </c>
      <c r="B13" s="21" t="s">
        <v>11</v>
      </c>
      <c r="C13" s="22" t="s">
        <v>12</v>
      </c>
      <c r="D13" s="21" t="s">
        <v>13</v>
      </c>
      <c r="E13" s="23" t="s">
        <v>14</v>
      </c>
      <c r="F13" s="21" t="s">
        <v>15</v>
      </c>
      <c r="H13" s="8" t="s">
        <v>16</v>
      </c>
    </row>
    <row r="14" spans="1:8" s="8" customFormat="1" ht="17.5" customHeight="1" x14ac:dyDescent="0.2">
      <c r="A14" s="25" t="s">
        <v>17</v>
      </c>
      <c r="B14" s="23" t="s">
        <v>18</v>
      </c>
      <c r="C14" s="26">
        <v>1</v>
      </c>
      <c r="D14" s="27">
        <v>3.5</v>
      </c>
      <c r="E14" s="27">
        <f>D14*C14</f>
        <v>3.5</v>
      </c>
      <c r="F14" s="25"/>
      <c r="H14" s="8" t="s">
        <v>19</v>
      </c>
    </row>
    <row r="15" spans="1:8" s="8" customFormat="1" ht="17.5" customHeight="1" x14ac:dyDescent="0.2">
      <c r="A15" s="25" t="s">
        <v>20</v>
      </c>
      <c r="B15" s="23" t="s">
        <v>18</v>
      </c>
      <c r="C15" s="26">
        <v>1</v>
      </c>
      <c r="D15" s="27">
        <v>2.5</v>
      </c>
      <c r="E15" s="27">
        <f t="shared" ref="E15:E22" si="0">D15*C15</f>
        <v>2.5</v>
      </c>
      <c r="F15" s="25"/>
      <c r="H15" s="8" t="s">
        <v>21</v>
      </c>
    </row>
    <row r="16" spans="1:8" s="8" customFormat="1" ht="17.5" customHeight="1" x14ac:dyDescent="0.2">
      <c r="A16" s="25" t="s">
        <v>22</v>
      </c>
      <c r="B16" s="23" t="s">
        <v>18</v>
      </c>
      <c r="C16" s="26">
        <v>0.4</v>
      </c>
      <c r="D16" s="27">
        <v>2.2000000000000002</v>
      </c>
      <c r="E16" s="27">
        <f t="shared" si="0"/>
        <v>0.88000000000000012</v>
      </c>
      <c r="F16" s="25"/>
    </row>
    <row r="17" spans="1:8" s="8" customFormat="1" ht="17.5" customHeight="1" x14ac:dyDescent="0.2">
      <c r="A17" s="25" t="s">
        <v>23</v>
      </c>
      <c r="B17" s="23" t="s">
        <v>18</v>
      </c>
      <c r="C17" s="26">
        <v>3.0000000000000001E-3</v>
      </c>
      <c r="D17" s="27">
        <v>11</v>
      </c>
      <c r="E17" s="27">
        <f t="shared" si="0"/>
        <v>3.3000000000000002E-2</v>
      </c>
      <c r="F17" s="25"/>
      <c r="H17" s="8" t="s">
        <v>24</v>
      </c>
    </row>
    <row r="18" spans="1:8" s="8" customFormat="1" ht="17.5" customHeight="1" x14ac:dyDescent="0.2">
      <c r="A18" s="25" t="s">
        <v>25</v>
      </c>
      <c r="B18" s="23" t="s">
        <v>18</v>
      </c>
      <c r="C18" s="26">
        <v>0.01</v>
      </c>
      <c r="D18" s="27">
        <v>10</v>
      </c>
      <c r="E18" s="27">
        <f t="shared" si="0"/>
        <v>0.1</v>
      </c>
      <c r="F18" s="25"/>
      <c r="H18" s="8" t="s">
        <v>26</v>
      </c>
    </row>
    <row r="19" spans="1:8" s="8" customFormat="1" ht="17.5" customHeight="1" x14ac:dyDescent="0.2">
      <c r="A19" s="25" t="s">
        <v>27</v>
      </c>
      <c r="B19" s="23" t="s">
        <v>18</v>
      </c>
      <c r="C19" s="26">
        <v>0.1</v>
      </c>
      <c r="D19" s="27">
        <v>0.6</v>
      </c>
      <c r="E19" s="27">
        <f t="shared" si="0"/>
        <v>0.06</v>
      </c>
      <c r="F19" s="25"/>
      <c r="H19" s="8" t="s">
        <v>28</v>
      </c>
    </row>
    <row r="20" spans="1:8" s="8" customFormat="1" ht="17.5" customHeight="1" x14ac:dyDescent="0.2">
      <c r="A20" s="25" t="s">
        <v>29</v>
      </c>
      <c r="B20" s="23" t="s">
        <v>18</v>
      </c>
      <c r="C20" s="26">
        <v>0.01</v>
      </c>
      <c r="D20" s="27">
        <v>0.3</v>
      </c>
      <c r="E20" s="27">
        <f t="shared" si="0"/>
        <v>3.0000000000000001E-3</v>
      </c>
      <c r="F20" s="25"/>
    </row>
    <row r="21" spans="1:8" s="8" customFormat="1" ht="17.5" customHeight="1" x14ac:dyDescent="0.2">
      <c r="A21" s="25" t="s">
        <v>30</v>
      </c>
      <c r="B21" s="23" t="s">
        <v>18</v>
      </c>
      <c r="C21" s="26">
        <v>0.03</v>
      </c>
      <c r="D21" s="27">
        <v>2</v>
      </c>
      <c r="E21" s="27">
        <f t="shared" si="0"/>
        <v>0.06</v>
      </c>
      <c r="F21" s="25"/>
    </row>
    <row r="22" spans="1:8" s="8" customFormat="1" ht="17.5" customHeight="1" x14ac:dyDescent="0.2">
      <c r="A22" s="25" t="s">
        <v>31</v>
      </c>
      <c r="B22" s="23" t="s">
        <v>18</v>
      </c>
      <c r="C22" s="26">
        <v>0.01</v>
      </c>
      <c r="D22" s="27">
        <v>5</v>
      </c>
      <c r="E22" s="27">
        <f t="shared" si="0"/>
        <v>0.05</v>
      </c>
      <c r="F22" s="25"/>
    </row>
    <row r="23" spans="1:8" s="29" customFormat="1" ht="17.5" customHeight="1" x14ac:dyDescent="0.2">
      <c r="A23" s="21" t="s">
        <v>32</v>
      </c>
      <c r="B23" s="21"/>
      <c r="C23" s="22">
        <f>SUM(C14:C22)</f>
        <v>2.5629999999999993</v>
      </c>
      <c r="D23" s="28"/>
      <c r="E23" s="28">
        <f>SUM(E13:E22)</f>
        <v>7.1859999999999991</v>
      </c>
      <c r="F23" s="21"/>
      <c r="H23" s="30"/>
    </row>
    <row r="24" spans="1:8" s="29" customFormat="1" ht="25" customHeight="1" x14ac:dyDescent="0.2">
      <c r="A24" s="15" t="s">
        <v>33</v>
      </c>
      <c r="B24" s="16"/>
      <c r="C24" s="16"/>
      <c r="D24" s="16"/>
      <c r="E24" s="16"/>
      <c r="F24" s="17"/>
      <c r="H24" s="30"/>
    </row>
    <row r="25" spans="1:8" s="8" customFormat="1" ht="17.5" customHeight="1" x14ac:dyDescent="0.2">
      <c r="A25" s="31" t="s">
        <v>34</v>
      </c>
      <c r="B25" s="32">
        <f>E23</f>
        <v>7.1859999999999991</v>
      </c>
      <c r="C25" s="33"/>
      <c r="D25" s="33"/>
      <c r="E25" s="33"/>
      <c r="F25" s="34"/>
    </row>
    <row r="26" spans="1:8" s="8" customFormat="1" ht="17.5" customHeight="1" x14ac:dyDescent="0.2">
      <c r="A26" s="31" t="s">
        <v>35</v>
      </c>
      <c r="B26" s="35">
        <f>B25/B8</f>
        <v>4.2270588235294113</v>
      </c>
      <c r="C26" s="36"/>
      <c r="D26" s="37"/>
      <c r="E26" s="37"/>
      <c r="F26" s="38"/>
      <c r="H26" s="8" t="s">
        <v>36</v>
      </c>
    </row>
    <row r="27" spans="1:8" s="8" customFormat="1" ht="17.5" customHeight="1" x14ac:dyDescent="0.2">
      <c r="A27" s="31" t="s">
        <v>37</v>
      </c>
      <c r="B27" s="35">
        <f>B26*1.03</f>
        <v>4.3538705882352939</v>
      </c>
      <c r="C27" s="36"/>
      <c r="D27" s="37"/>
      <c r="E27" s="37"/>
      <c r="F27" s="38"/>
      <c r="H27" s="8" t="s">
        <v>38</v>
      </c>
    </row>
    <row r="28" spans="1:8" ht="16" x14ac:dyDescent="0.2">
      <c r="A28" s="18" t="s">
        <v>39</v>
      </c>
      <c r="B28" s="19"/>
      <c r="C28" s="19"/>
      <c r="D28" s="19"/>
      <c r="E28" s="19"/>
      <c r="F28" s="20"/>
    </row>
    <row r="29" spans="1:8" ht="16" x14ac:dyDescent="0.2">
      <c r="A29" s="21" t="s">
        <v>2</v>
      </c>
      <c r="B29" s="21" t="s">
        <v>11</v>
      </c>
      <c r="C29" s="22" t="s">
        <v>12</v>
      </c>
      <c r="D29" s="21" t="s">
        <v>13</v>
      </c>
      <c r="E29" s="23" t="s">
        <v>14</v>
      </c>
      <c r="F29" s="21" t="s">
        <v>15</v>
      </c>
    </row>
    <row r="30" spans="1:8" ht="16" x14ac:dyDescent="0.2">
      <c r="A30" s="25" t="s">
        <v>40</v>
      </c>
      <c r="B30" s="23" t="s">
        <v>41</v>
      </c>
      <c r="C30" s="26">
        <v>1</v>
      </c>
      <c r="D30" s="27">
        <v>0.25</v>
      </c>
      <c r="E30" s="27">
        <f>D30*C30</f>
        <v>0.25</v>
      </c>
      <c r="F30" s="25"/>
    </row>
    <row r="31" spans="1:8" ht="16" x14ac:dyDescent="0.2">
      <c r="A31" s="25" t="s">
        <v>42</v>
      </c>
      <c r="B31" s="23" t="s">
        <v>41</v>
      </c>
      <c r="C31" s="26">
        <v>1</v>
      </c>
      <c r="D31" s="27">
        <v>0.1</v>
      </c>
      <c r="E31" s="27">
        <f t="shared" ref="E31:E32" si="1">D31*C31</f>
        <v>0.1</v>
      </c>
      <c r="F31" s="25"/>
    </row>
    <row r="32" spans="1:8" ht="16" x14ac:dyDescent="0.2">
      <c r="A32" s="25"/>
      <c r="B32" s="23" t="s">
        <v>41</v>
      </c>
      <c r="C32" s="26">
        <v>0</v>
      </c>
      <c r="D32" s="27">
        <v>0.3</v>
      </c>
      <c r="E32" s="27">
        <f t="shared" si="1"/>
        <v>0</v>
      </c>
      <c r="F32" s="25"/>
    </row>
    <row r="33" spans="1:6" ht="16" x14ac:dyDescent="0.2">
      <c r="A33" s="21" t="s">
        <v>32</v>
      </c>
      <c r="B33" s="21"/>
      <c r="C33" s="39">
        <f>SUM(C30:C32)</f>
        <v>2</v>
      </c>
      <c r="D33" s="28"/>
      <c r="E33" s="28">
        <f>SUM(E29:E32)</f>
        <v>0.35</v>
      </c>
      <c r="F33" s="21"/>
    </row>
    <row r="34" spans="1:6" ht="17" x14ac:dyDescent="0.2">
      <c r="A34" s="15" t="s">
        <v>43</v>
      </c>
      <c r="B34" s="16"/>
      <c r="C34" s="16"/>
      <c r="D34" s="16"/>
      <c r="E34" s="16"/>
      <c r="F34" s="17"/>
    </row>
    <row r="35" spans="1:6" ht="16" x14ac:dyDescent="0.2">
      <c r="A35" s="31" t="s">
        <v>34</v>
      </c>
      <c r="B35" s="32">
        <f>E33</f>
        <v>0.35</v>
      </c>
      <c r="C35" s="33"/>
      <c r="D35" s="33"/>
      <c r="E35" s="33"/>
      <c r="F35" s="34"/>
    </row>
    <row r="36" spans="1:6" ht="16" x14ac:dyDescent="0.2">
      <c r="A36" s="31" t="s">
        <v>35</v>
      </c>
      <c r="B36" s="35">
        <f>B35/B8</f>
        <v>0.20588235294117646</v>
      </c>
      <c r="C36" s="37"/>
      <c r="D36" s="37"/>
      <c r="E36" s="37"/>
      <c r="F36" s="38"/>
    </row>
    <row r="37" spans="1:6" ht="16" x14ac:dyDescent="0.2">
      <c r="A37" s="31" t="s">
        <v>44</v>
      </c>
      <c r="B37" s="35">
        <f>B36*1.05</f>
        <v>0.2161764705882353</v>
      </c>
      <c r="C37" s="36"/>
      <c r="D37" s="37"/>
      <c r="E37" s="37"/>
      <c r="F37" s="38"/>
    </row>
    <row r="38" spans="1:6" ht="16" x14ac:dyDescent="0.2">
      <c r="A38" s="18" t="s">
        <v>45</v>
      </c>
      <c r="B38" s="19"/>
      <c r="C38" s="19"/>
      <c r="D38" s="19"/>
      <c r="E38" s="19"/>
      <c r="F38" s="20"/>
    </row>
    <row r="39" spans="1:6" ht="16" x14ac:dyDescent="0.2">
      <c r="A39" s="31" t="s">
        <v>35</v>
      </c>
      <c r="B39" s="35">
        <f>B27+B37</f>
        <v>4.5700470588235289</v>
      </c>
      <c r="C39" s="36"/>
      <c r="D39" s="37"/>
      <c r="E39" s="37"/>
      <c r="F39" s="38"/>
    </row>
  </sheetData>
  <mergeCells count="15">
    <mergeCell ref="B35:F35"/>
    <mergeCell ref="A38:F38"/>
    <mergeCell ref="A11:F11"/>
    <mergeCell ref="A12:F12"/>
    <mergeCell ref="A24:F24"/>
    <mergeCell ref="B25:F25"/>
    <mergeCell ref="A28:F28"/>
    <mergeCell ref="A34:F34"/>
    <mergeCell ref="A1:F4"/>
    <mergeCell ref="A5:F5"/>
    <mergeCell ref="B6:D6"/>
    <mergeCell ref="E6:F10"/>
    <mergeCell ref="B7:D7"/>
    <mergeCell ref="B8:D8"/>
    <mergeCell ref="A9:D10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4E219439AD8645B2D561AA3FC2A2CF" ma:contentTypeVersion="11" ma:contentTypeDescription="Create a new document." ma:contentTypeScope="" ma:versionID="d3c47d1015f7272a147acaf064d1a436">
  <xsd:schema xmlns:xsd="http://www.w3.org/2001/XMLSchema" xmlns:xs="http://www.w3.org/2001/XMLSchema" xmlns:p="http://schemas.microsoft.com/office/2006/metadata/properties" xmlns:ns2="f4ea8ec5-8336-44c3-80be-c81a69b7cfab" xmlns:ns3="bd5ddd98-dae5-48d2-b84c-29a29cb22cdd" targetNamespace="http://schemas.microsoft.com/office/2006/metadata/properties" ma:root="true" ma:fieldsID="aa403d2718412553660d04413e36421d" ns2:_="" ns3:_="">
    <xsd:import namespace="f4ea8ec5-8336-44c3-80be-c81a69b7cfab"/>
    <xsd:import namespace="bd5ddd98-dae5-48d2-b84c-29a29cb22c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ea8ec5-8336-44c3-80be-c81a69b7cf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45139a5-a026-4d78-98bf-2168703d09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ddd98-dae5-48d2-b84c-29a29cb22cd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9c473c6-78f3-4e91-a4e6-def09c2701a9}" ma:internalName="TaxCatchAll" ma:showField="CatchAllData" ma:web="bd5ddd98-dae5-48d2-b84c-29a29cb22c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ea8ec5-8336-44c3-80be-c81a69b7cfab">
      <Terms xmlns="http://schemas.microsoft.com/office/infopath/2007/PartnerControls"/>
    </lcf76f155ced4ddcb4097134ff3c332f>
    <TaxCatchAll xmlns="bd5ddd98-dae5-48d2-b84c-29a29cb22cdd" xsi:nil="true"/>
  </documentManagement>
</p:properties>
</file>

<file path=customXml/itemProps1.xml><?xml version="1.0" encoding="utf-8"?>
<ds:datastoreItem xmlns:ds="http://schemas.openxmlformats.org/officeDocument/2006/customXml" ds:itemID="{0C34C086-C250-4D44-BDF5-76CC6C3BC2DF}"/>
</file>

<file path=customXml/itemProps2.xml><?xml version="1.0" encoding="utf-8"?>
<ds:datastoreItem xmlns:ds="http://schemas.openxmlformats.org/officeDocument/2006/customXml" ds:itemID="{251E8315-F7F7-4A23-AB61-BEF5973AB77C}"/>
</file>

<file path=customXml/itemProps3.xml><?xml version="1.0" encoding="utf-8"?>
<ds:datastoreItem xmlns:ds="http://schemas.openxmlformats.org/officeDocument/2006/customXml" ds:itemID="{0C472F5A-CE39-4557-BE10-678EFF7680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Thousand Islands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 Awarkeh</dc:creator>
  <cp:lastModifiedBy>S. Awarkeh</cp:lastModifiedBy>
  <dcterms:created xsi:type="dcterms:W3CDTF">2026-08-24T13:29:35Z</dcterms:created>
  <dcterms:modified xsi:type="dcterms:W3CDTF">2026-08-24T13:30:17Z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0x0101007C4E219439AD8645B2D561AA3FC2A2CF</vt:lpwstr>
  </property>
</Properties>
</file>